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p\Desktop\2026\com 252\"/>
    </mc:Choice>
  </mc:AlternateContent>
  <xr:revisionPtr revIDLastSave="0" documentId="8_{3FB4551F-06FA-484B-AC84-AA6AFC712E1F}" xr6:coauthVersionLast="47" xr6:coauthVersionMax="47" xr10:uidLastSave="{00000000-0000-0000-0000-000000000000}"/>
  <bookViews>
    <workbookView xWindow="-120" yWindow="-120" windowWidth="20730" windowHeight="11040" activeTab="3" xr2:uid="{763C3AE0-A5AA-44FE-85FD-9E72A8562848}"/>
  </bookViews>
  <sheets>
    <sheet name="lu" sheetId="1" r:id="rId1"/>
    <sheet name="Hoja2" sheetId="2" r:id="rId2"/>
    <sheet name="Hoja1" sheetId="3" r:id="rId3"/>
    <sheet name="Hoja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2" l="1"/>
  <c r="J15" i="2"/>
  <c r="E35" i="4" a="1"/>
  <c r="E35" i="4" s="1"/>
  <c r="E31" i="4" a="1"/>
  <c r="E31" i="4" s="1"/>
  <c r="E27" i="4" a="1"/>
  <c r="E27" i="4" s="1"/>
  <c r="E23" i="4" a="1"/>
  <c r="E23" i="4" s="1"/>
  <c r="E19" i="4" a="1"/>
  <c r="E19" i="4" s="1"/>
  <c r="G8" i="4"/>
  <c r="L4" i="4"/>
  <c r="G14" i="4" s="1"/>
  <c r="F14" i="4"/>
  <c r="G13" i="4"/>
  <c r="H13" i="4"/>
  <c r="F13" i="4"/>
  <c r="G12" i="4"/>
  <c r="H12" i="4"/>
  <c r="F12" i="4"/>
  <c r="H9" i="4"/>
  <c r="G9" i="4"/>
  <c r="H8" i="4"/>
  <c r="F9" i="4"/>
  <c r="K4" i="4"/>
  <c r="F8" i="4"/>
  <c r="G7" i="4"/>
  <c r="H7" i="4"/>
  <c r="F7" i="4"/>
  <c r="K3" i="4"/>
  <c r="H16" i="3"/>
  <c r="G16" i="3"/>
  <c r="N5" i="3"/>
  <c r="F16" i="3"/>
  <c r="F15" i="3"/>
  <c r="G15" i="3"/>
  <c r="H15" i="3"/>
  <c r="G14" i="3"/>
  <c r="H14" i="3"/>
  <c r="F14" i="3"/>
  <c r="H11" i="3"/>
  <c r="G11" i="3"/>
  <c r="F11" i="3"/>
  <c r="M5" i="3"/>
  <c r="H10" i="3"/>
  <c r="G10" i="3"/>
  <c r="F10" i="3"/>
  <c r="M4" i="3"/>
  <c r="Q16" i="2"/>
  <c r="P16" i="2"/>
  <c r="O16" i="2"/>
  <c r="L15" i="2"/>
  <c r="K15" i="2"/>
  <c r="D38" i="2"/>
  <c r="D37" i="2"/>
  <c r="E36" i="2"/>
  <c r="F36" i="2"/>
  <c r="D36" i="2"/>
  <c r="F32" i="2"/>
  <c r="E32" i="2"/>
  <c r="D32" i="2"/>
  <c r="J26" i="2"/>
  <c r="J25" i="2"/>
  <c r="H14" i="4" l="1"/>
  <c r="E25" i="2"/>
  <c r="E31" i="2" s="1"/>
  <c r="E37" i="2" s="1"/>
  <c r="F25" i="2"/>
  <c r="F31" i="2" s="1"/>
  <c r="F37" i="2" s="1"/>
  <c r="K26" i="2" l="1"/>
  <c r="E38" i="2" l="1"/>
  <c r="I52" i="2" s="1" a="1"/>
  <c r="F38" i="2"/>
  <c r="I47" i="2" a="1"/>
  <c r="D42" i="2" a="1"/>
  <c r="D42" i="2" l="1"/>
  <c r="E42" i="2"/>
  <c r="F44" i="2"/>
  <c r="F43" i="2"/>
  <c r="E43" i="2"/>
  <c r="D43" i="2"/>
  <c r="F42" i="2"/>
  <c r="E44" i="2"/>
  <c r="D44" i="2"/>
  <c r="I49" i="2"/>
  <c r="I47" i="2"/>
  <c r="J49" i="2"/>
  <c r="I48" i="2"/>
  <c r="K47" i="2"/>
  <c r="J47" i="2"/>
  <c r="K49" i="2"/>
  <c r="K48" i="2"/>
  <c r="J48" i="2"/>
  <c r="K52" i="2"/>
  <c r="J53" i="2"/>
  <c r="I53" i="2"/>
  <c r="K54" i="2"/>
  <c r="I52" i="2"/>
  <c r="J54" i="2"/>
  <c r="K53" i="2"/>
  <c r="I54" i="2"/>
  <c r="J52" i="2"/>
  <c r="D48" i="2" l="1" a="1"/>
  <c r="D48" i="2" l="1"/>
  <c r="D52" i="2" s="1" a="1"/>
  <c r="D50" i="2"/>
  <c r="D49" i="2"/>
  <c r="D54" i="2" l="1"/>
  <c r="D52" i="2"/>
  <c r="D5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<sst xmlns="http://schemas.openxmlformats.org/spreadsheetml/2006/main" count="68" uniqueCount="52">
  <si>
    <t xml:space="preserve"> a=[ 3 -0.1 -0.2;0.1 7 -0.3;0.3 -0.2 10]</t>
  </si>
  <si>
    <t>a =</t>
  </si>
  <si>
    <t xml:space="preserve">    3.0000   -0.1000   -0.2000</t>
  </si>
  <si>
    <t xml:space="preserve">    0.1000    7.0000   -0.3000</t>
  </si>
  <si>
    <t xml:space="preserve">    0.3000   -0.2000   10.0000</t>
  </si>
  <si>
    <t>&gt;&gt; b=[7.85;-19.3;71.4]</t>
  </si>
  <si>
    <t>b =</t>
  </si>
  <si>
    <t>&gt;&gt; x=inv(a)*b</t>
  </si>
  <si>
    <t>x =</t>
  </si>
  <si>
    <t>&gt;&gt;</t>
  </si>
  <si>
    <t>&gt;&gt; [l,u]= lu(a)</t>
  </si>
  <si>
    <t>l =</t>
  </si>
  <si>
    <t xml:space="preserve">   1.0000        0        0</t>
  </si>
  <si>
    <t xml:space="preserve">   0.0333   1.0000        0</t>
  </si>
  <si>
    <t xml:space="preserve">   0.1000  -0.0271   1.0000</t>
  </si>
  <si>
    <t>u =</t>
  </si>
  <si>
    <t xml:space="preserve">         0    7.0033   -0.2933</t>
  </si>
  <si>
    <t xml:space="preserve">         0         0   10.0120</t>
  </si>
  <si>
    <t>a= u0</t>
  </si>
  <si>
    <t>u1=</t>
  </si>
  <si>
    <t>-f21 *a1i + a2i</t>
  </si>
  <si>
    <t>f21</t>
  </si>
  <si>
    <t>f31</t>
  </si>
  <si>
    <t>f32</t>
  </si>
  <si>
    <t>L0</t>
  </si>
  <si>
    <t>u2</t>
  </si>
  <si>
    <t>u3</t>
  </si>
  <si>
    <t>a= l* u</t>
  </si>
  <si>
    <t xml:space="preserve">L d =b </t>
  </si>
  <si>
    <t>inv(L)</t>
  </si>
  <si>
    <t>inv(U)</t>
  </si>
  <si>
    <t>U x = d</t>
  </si>
  <si>
    <t>inv(L) * b</t>
  </si>
  <si>
    <t>inv(u) *d</t>
  </si>
  <si>
    <t>u1</t>
  </si>
  <si>
    <t>a=u1</t>
  </si>
  <si>
    <t>l</t>
  </si>
  <si>
    <t>a=u2</t>
  </si>
  <si>
    <t>a=[10 -7 0;-3 2 6;5 -1 5]</t>
  </si>
  <si>
    <t>b=[7;4;6]</t>
  </si>
  <si>
    <t>x=inv(a)*b</t>
  </si>
  <si>
    <t>[l,u]=lu(a)</t>
  </si>
  <si>
    <t>d=inv(l)*b</t>
  </si>
  <si>
    <t>x1=inv(u)*d</t>
  </si>
  <si>
    <t>a=u0</t>
  </si>
  <si>
    <t>a</t>
  </si>
  <si>
    <t>d</t>
  </si>
  <si>
    <t>inv(l)</t>
  </si>
  <si>
    <t>b</t>
  </si>
  <si>
    <t>x=inv(u)*d</t>
  </si>
  <si>
    <t>inv(u)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</si>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</sst>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164" fontId="0" fillId="0" borderId="0" xfId="0" applyNumberFormat="1"/>
    <xf numFmtId="3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quotePrefix="1"/>
    <xf numFmtId="0" fontId="0" fillId="4" borderId="0" xfId="0" applyFill="1"/>
    <xf numFmtId="4" fontId="0" fillId="0" borderId="0" xfId="0" applyNumberFormat="1"/>
    <xf numFmtId="0" fontId="0" fillId="5" borderId="0" xfId="0" applyFill="1"/>
    <xf numFmtId="3" fontId="0" fillId="2" borderId="1" xfId="0" applyNumberFormat="1" applyFill="1" applyBorder="1"/>
    <xf numFmtId="0" fontId="0" fillId="2" borderId="1" xfId="0" applyFill="1" applyBorder="1"/>
    <xf numFmtId="164" fontId="0" fillId="2" borderId="1" xfId="0" applyNumberFormat="1" applyFill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667969</xdr:colOff>
      <xdr:row>23</xdr:row>
      <xdr:rowOff>156482</xdr:rowOff>
    </xdr:from>
    <xdr:to>
      <xdr:col>8</xdr:col>
      <xdr:colOff>139000</xdr:colOff>
      <xdr:row>26</xdr:row>
      <xdr:rowOff>12335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26A3F7-3D77-45F8-907A-48DEFA83A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9969" y="4537982"/>
          <a:ext cx="995031" cy="427353"/>
        </a:xfrm>
        <a:prstGeom prst="rect">
          <a:avLst/>
        </a:prstGeom>
      </xdr:spPr>
    </xdr:pic>
    <xdr:clientData/>
  </xdr:twoCellAnchor>
  <xdr:twoCellAnchor editAs="oneCell">
    <xdr:from>
      <xdr:col>6</xdr:col>
      <xdr:colOff>635403</xdr:colOff>
      <xdr:row>28</xdr:row>
      <xdr:rowOff>183696</xdr:rowOff>
    </xdr:from>
    <xdr:to>
      <xdr:col>8</xdr:col>
      <xdr:colOff>213833</xdr:colOff>
      <xdr:row>37</xdr:row>
      <xdr:rowOff>31581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93CDB8-87F9-DCAA-D839-51168E546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7403" y="5517696"/>
          <a:ext cx="1102430" cy="156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707572</xdr:colOff>
      <xdr:row>2</xdr:row>
      <xdr:rowOff>20411</xdr:rowOff>
    </xdr:from>
    <xdr:to>
      <xdr:col>10</xdr:col>
      <xdr:colOff>178603</xdr:colOff>
      <xdr:row>4</xdr:row>
      <xdr:rowOff>66764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81B253-1AC5-4174-B50E-F7D53AA87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4143" y="401411"/>
          <a:ext cx="995031" cy="427353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4</xdr:row>
      <xdr:rowOff>39105</xdr:rowOff>
    </xdr:from>
    <xdr:to>
      <xdr:col>10</xdr:col>
      <xdr:colOff>34018</xdr:colOff>
      <xdr:row>9</xdr:row>
      <xdr:rowOff>147242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C7C6AD-9E3B-42FF-BECA-970BA96D0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46196" y="801105"/>
          <a:ext cx="748393" cy="10606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2</xdr:col>
      <xdr:colOff>329821</xdr:colOff>
      <xdr:row>11</xdr:row>
      <xdr:rowOff>87923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FEE6BE-4BD0-4C13-A154-B3A55288C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714500"/>
          <a:ext cx="1091821" cy="4689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748393</xdr:colOff>
      <xdr:row>17</xdr:row>
      <xdr:rowOff>108137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5AC485-790E-4B99-B425-56EE052A4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2286000"/>
          <a:ext cx="748393" cy="1060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92E8-0609-43CB-A4A0-A7759E0ADBAD}">
  <dimension ref="C3:H24"/>
  <sheetViews>
    <sheetView topLeftCell="A16" zoomScale="140" zoomScaleNormal="140" workbookViewId="0">
      <selection activeCell="C13" sqref="C13:C15"/>
    </sheetView>
  </sheetViews>
  <sheetFormatPr baseColWidth="10" defaultRowHeight="15" x14ac:dyDescent="0.25"/>
  <sheetData>
    <row r="3" spans="3:8" x14ac:dyDescent="0.25">
      <c r="C3" t="s">
        <v>0</v>
      </c>
      <c r="H3" t="s">
        <v>10</v>
      </c>
    </row>
    <row r="4" spans="3:8" x14ac:dyDescent="0.25">
      <c r="C4" t="s">
        <v>1</v>
      </c>
      <c r="H4" t="s">
        <v>11</v>
      </c>
    </row>
    <row r="6" spans="3:8" x14ac:dyDescent="0.25">
      <c r="C6" t="s">
        <v>2</v>
      </c>
      <c r="H6" t="s">
        <v>12</v>
      </c>
    </row>
    <row r="7" spans="3:8" x14ac:dyDescent="0.25">
      <c r="C7" t="s">
        <v>3</v>
      </c>
      <c r="H7" t="s">
        <v>13</v>
      </c>
    </row>
    <row r="8" spans="3:8" x14ac:dyDescent="0.25">
      <c r="C8" t="s">
        <v>4</v>
      </c>
      <c r="H8" t="s">
        <v>14</v>
      </c>
    </row>
    <row r="10" spans="3:8" x14ac:dyDescent="0.25">
      <c r="C10" t="s">
        <v>5</v>
      </c>
      <c r="H10" t="s">
        <v>15</v>
      </c>
    </row>
    <row r="11" spans="3:8" x14ac:dyDescent="0.25">
      <c r="C11" t="s">
        <v>6</v>
      </c>
    </row>
    <row r="12" spans="3:8" x14ac:dyDescent="0.25">
      <c r="H12" t="s">
        <v>2</v>
      </c>
    </row>
    <row r="13" spans="3:8" x14ac:dyDescent="0.25">
      <c r="C13" s="10">
        <v>7.85</v>
      </c>
      <c r="H13" t="s">
        <v>16</v>
      </c>
    </row>
    <row r="14" spans="3:8" x14ac:dyDescent="0.25">
      <c r="C14" s="10">
        <v>-19.3</v>
      </c>
      <c r="H14" t="s">
        <v>17</v>
      </c>
    </row>
    <row r="15" spans="3:8" x14ac:dyDescent="0.25">
      <c r="C15" s="10">
        <v>71.400000000000006</v>
      </c>
    </row>
    <row r="17" spans="3:3" x14ac:dyDescent="0.25">
      <c r="C17" t="s">
        <v>7</v>
      </c>
    </row>
    <row r="18" spans="3:3" x14ac:dyDescent="0.25">
      <c r="C18" t="s">
        <v>8</v>
      </c>
    </row>
    <row r="20" spans="3:3" x14ac:dyDescent="0.25">
      <c r="C20" s="1">
        <v>3</v>
      </c>
    </row>
    <row r="21" spans="3:3" x14ac:dyDescent="0.25">
      <c r="C21" s="2">
        <v>-2.5</v>
      </c>
    </row>
    <row r="22" spans="3:3" x14ac:dyDescent="0.25">
      <c r="C22" s="1">
        <v>7</v>
      </c>
    </row>
    <row r="24" spans="3:3" x14ac:dyDescent="0.25">
      <c r="C2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BB56-AF41-48A5-AF60-F07F94CD1698}">
  <dimension ref="B4:Q54"/>
  <sheetViews>
    <sheetView topLeftCell="D49" zoomScale="210" zoomScaleNormal="210" workbookViewId="0">
      <selection activeCell="K26" sqref="K26"/>
    </sheetView>
  </sheetViews>
  <sheetFormatPr baseColWidth="10" defaultRowHeight="15" x14ac:dyDescent="0.25"/>
  <cols>
    <col min="10" max="12" width="7.7109375" customWidth="1"/>
  </cols>
  <sheetData>
    <row r="4" spans="4:17" x14ac:dyDescent="0.25">
      <c r="D4" t="s">
        <v>0</v>
      </c>
    </row>
    <row r="5" spans="4:17" x14ac:dyDescent="0.25">
      <c r="D5" t="s">
        <v>1</v>
      </c>
    </row>
    <row r="7" spans="4:17" x14ac:dyDescent="0.25">
      <c r="D7" t="s">
        <v>2</v>
      </c>
    </row>
    <row r="8" spans="4:17" x14ac:dyDescent="0.25">
      <c r="D8" t="s">
        <v>3</v>
      </c>
    </row>
    <row r="9" spans="4:17" x14ac:dyDescent="0.25">
      <c r="D9" t="s">
        <v>4</v>
      </c>
    </row>
    <row r="11" spans="4:17" x14ac:dyDescent="0.25">
      <c r="D11" t="s">
        <v>5</v>
      </c>
    </row>
    <row r="12" spans="4:17" x14ac:dyDescent="0.25">
      <c r="D12" t="s">
        <v>6</v>
      </c>
    </row>
    <row r="14" spans="4:17" x14ac:dyDescent="0.25">
      <c r="D14" s="10">
        <v>7.85</v>
      </c>
      <c r="J14" s="11">
        <v>3</v>
      </c>
      <c r="K14" s="11">
        <v>-0.1</v>
      </c>
      <c r="L14" s="11">
        <v>-0.2</v>
      </c>
      <c r="O14" s="11">
        <v>3</v>
      </c>
      <c r="P14" s="11">
        <v>-0.1</v>
      </c>
      <c r="Q14" s="11">
        <v>-0.2</v>
      </c>
    </row>
    <row r="15" spans="4:17" x14ac:dyDescent="0.25">
      <c r="D15" s="10">
        <v>-19.3</v>
      </c>
      <c r="I15" t="s">
        <v>34</v>
      </c>
      <c r="J15" s="11">
        <f>+(-0.1/3)*D19+D20</f>
        <v>0</v>
      </c>
      <c r="K15" s="11">
        <f>+(-0.1/3)*E19+E20</f>
        <v>7.003333333333333</v>
      </c>
      <c r="L15" s="11">
        <f>+(-0.1/3)*F19+F20</f>
        <v>-0.29333333333333333</v>
      </c>
      <c r="N15" t="s">
        <v>25</v>
      </c>
      <c r="O15" s="11">
        <v>0</v>
      </c>
      <c r="P15" s="11">
        <v>7.003333333333333</v>
      </c>
      <c r="Q15" s="11">
        <v>-0.29333333333333333</v>
      </c>
    </row>
    <row r="16" spans="4:17" x14ac:dyDescent="0.25">
      <c r="D16" s="10">
        <v>71.400000000000006</v>
      </c>
      <c r="J16" s="11">
        <v>0.3</v>
      </c>
      <c r="K16" s="11">
        <v>-0.2</v>
      </c>
      <c r="L16" s="11">
        <v>10</v>
      </c>
      <c r="O16" s="11">
        <f>+(-0.3/3)*J14+J16</f>
        <v>0</v>
      </c>
      <c r="P16" s="11">
        <f>+(-0.3/3)*K14+K16</f>
        <v>-0.19</v>
      </c>
      <c r="Q16" s="11">
        <f>+(-0.3/3)*L14+L16</f>
        <v>10.02</v>
      </c>
    </row>
    <row r="19" spans="2:12" x14ac:dyDescent="0.25">
      <c r="D19" s="3">
        <v>3</v>
      </c>
      <c r="E19" s="4">
        <v>-0.1</v>
      </c>
      <c r="F19" s="4">
        <v>-0.2</v>
      </c>
    </row>
    <row r="20" spans="2:12" x14ac:dyDescent="0.25">
      <c r="B20" t="s">
        <v>18</v>
      </c>
      <c r="D20" s="5">
        <v>0.1</v>
      </c>
      <c r="E20" s="4">
        <v>7</v>
      </c>
      <c r="F20" s="4">
        <v>-0.3</v>
      </c>
      <c r="J20" s="8" t="s">
        <v>20</v>
      </c>
    </row>
    <row r="21" spans="2:12" x14ac:dyDescent="0.25">
      <c r="D21" s="4">
        <v>0.3</v>
      </c>
      <c r="E21" s="4">
        <v>-0.2</v>
      </c>
      <c r="F21" s="4">
        <v>10</v>
      </c>
    </row>
    <row r="24" spans="2:12" x14ac:dyDescent="0.25">
      <c r="B24" t="s">
        <v>19</v>
      </c>
      <c r="D24" s="7">
        <v>3</v>
      </c>
      <c r="E24" s="7">
        <v>-0.1</v>
      </c>
      <c r="F24" s="7">
        <v>-0.2</v>
      </c>
      <c r="I24" s="6" t="s">
        <v>24</v>
      </c>
      <c r="J24" s="7">
        <v>1</v>
      </c>
      <c r="K24" s="7">
        <v>0</v>
      </c>
      <c r="L24" s="7">
        <v>0</v>
      </c>
    </row>
    <row r="25" spans="2:12" x14ac:dyDescent="0.25">
      <c r="D25" s="7">
        <f>+(-D20/D19)*D19+D20</f>
        <v>0</v>
      </c>
      <c r="E25" s="7">
        <f>+-J25*E19+E20</f>
        <v>7.003333333333333</v>
      </c>
      <c r="F25" s="7">
        <f>+-J25*F19+F20</f>
        <v>-0.29333333333333333</v>
      </c>
      <c r="J25" s="7">
        <f>+D20/D19</f>
        <v>3.3333333333333333E-2</v>
      </c>
      <c r="K25" s="7">
        <v>1</v>
      </c>
      <c r="L25" s="7">
        <v>0</v>
      </c>
    </row>
    <row r="26" spans="2:12" x14ac:dyDescent="0.25">
      <c r="D26" s="7">
        <v>0.3</v>
      </c>
      <c r="E26" s="7">
        <v>-0.2</v>
      </c>
      <c r="F26" s="7">
        <v>10</v>
      </c>
      <c r="J26" s="7">
        <f>+D26/D24</f>
        <v>9.9999999999999992E-2</v>
      </c>
      <c r="K26" s="7">
        <f>+E32/E31</f>
        <v>-2.7129938124702525E-2</v>
      </c>
      <c r="L26" s="7">
        <v>1</v>
      </c>
    </row>
    <row r="28" spans="2:12" x14ac:dyDescent="0.25">
      <c r="J28" s="9">
        <v>1</v>
      </c>
      <c r="K28" s="9">
        <v>0</v>
      </c>
      <c r="L28" s="9">
        <v>0</v>
      </c>
    </row>
    <row r="29" spans="2:12" x14ac:dyDescent="0.25">
      <c r="J29" s="9" t="s">
        <v>21</v>
      </c>
      <c r="K29" s="9">
        <v>1</v>
      </c>
      <c r="L29" s="9">
        <v>0</v>
      </c>
    </row>
    <row r="30" spans="2:12" x14ac:dyDescent="0.25">
      <c r="D30" s="7">
        <v>3</v>
      </c>
      <c r="E30" s="7">
        <v>-0.1</v>
      </c>
      <c r="F30" s="7">
        <v>-0.2</v>
      </c>
      <c r="J30" s="9" t="s">
        <v>22</v>
      </c>
      <c r="K30" s="9" t="s">
        <v>23</v>
      </c>
      <c r="L30" s="9">
        <v>1</v>
      </c>
    </row>
    <row r="31" spans="2:12" x14ac:dyDescent="0.25">
      <c r="B31" t="s">
        <v>25</v>
      </c>
      <c r="D31" s="7">
        <v>0</v>
      </c>
      <c r="E31" s="7">
        <f>+E25</f>
        <v>7.003333333333333</v>
      </c>
      <c r="F31" s="7">
        <f>+F25</f>
        <v>-0.29333333333333333</v>
      </c>
    </row>
    <row r="32" spans="2:12" x14ac:dyDescent="0.25">
      <c r="D32" s="7">
        <f>+-J26*D24+D26</f>
        <v>0</v>
      </c>
      <c r="E32" s="7">
        <f>+-J26*E24+E26</f>
        <v>-0.19</v>
      </c>
      <c r="F32" s="7">
        <f>+-J26*F24+F26</f>
        <v>10.02</v>
      </c>
    </row>
    <row r="36" spans="2:11" x14ac:dyDescent="0.25">
      <c r="B36" t="s">
        <v>26</v>
      </c>
      <c r="D36" s="7">
        <f>+D30</f>
        <v>3</v>
      </c>
      <c r="E36" s="7">
        <f t="shared" ref="E36:F36" si="0">+E30</f>
        <v>-0.1</v>
      </c>
      <c r="F36" s="7">
        <f t="shared" si="0"/>
        <v>-0.2</v>
      </c>
    </row>
    <row r="37" spans="2:11" x14ac:dyDescent="0.25">
      <c r="D37" s="7">
        <f>+D31</f>
        <v>0</v>
      </c>
      <c r="E37" s="7">
        <f t="shared" ref="E37:F37" si="1">+E31</f>
        <v>7.003333333333333</v>
      </c>
      <c r="F37" s="7">
        <f t="shared" si="1"/>
        <v>-0.29333333333333333</v>
      </c>
    </row>
    <row r="38" spans="2:11" x14ac:dyDescent="0.25">
      <c r="D38" s="7">
        <f>+D37</f>
        <v>0</v>
      </c>
      <c r="E38" s="7">
        <f>+-K26*E31+E32</f>
        <v>0</v>
      </c>
      <c r="F38" s="7">
        <f>+-K26*F31+F32</f>
        <v>10.012041884816753</v>
      </c>
    </row>
    <row r="42" spans="2:11" x14ac:dyDescent="0.25">
      <c r="B42" t="s">
        <v>27</v>
      </c>
      <c r="D42" s="7">
        <f t="array" ref="D42:F44">+MMULT(J24:L26,D36:F38)</f>
        <v>3</v>
      </c>
      <c r="E42" s="7">
        <v>-0.1</v>
      </c>
      <c r="F42" s="7">
        <v>-0.2</v>
      </c>
    </row>
    <row r="43" spans="2:11" x14ac:dyDescent="0.25">
      <c r="D43" s="7">
        <v>0.1</v>
      </c>
      <c r="E43" s="7">
        <v>7</v>
      </c>
      <c r="F43" s="7">
        <v>-0.3</v>
      </c>
    </row>
    <row r="44" spans="2:11" x14ac:dyDescent="0.25">
      <c r="D44" s="7">
        <v>0.3</v>
      </c>
      <c r="E44" s="7">
        <v>-0.2</v>
      </c>
      <c r="F44" s="7">
        <v>10</v>
      </c>
    </row>
    <row r="47" spans="2:11" x14ac:dyDescent="0.25">
      <c r="B47" s="7"/>
      <c r="I47">
        <f t="array" ref="I47:K49">+MINVERSE(J24:L26)</f>
        <v>1</v>
      </c>
      <c r="J47">
        <v>0</v>
      </c>
      <c r="K47">
        <v>0</v>
      </c>
    </row>
    <row r="48" spans="2:11" x14ac:dyDescent="0.25">
      <c r="B48" s="7" t="s">
        <v>28</v>
      </c>
      <c r="D48">
        <f t="array" ref="D48:D50">+MMULT(I47:K49,D14:D16)</f>
        <v>7.85</v>
      </c>
      <c r="F48" t="s">
        <v>32</v>
      </c>
      <c r="H48" t="s">
        <v>29</v>
      </c>
      <c r="I48">
        <v>-3.3333333333333333E-2</v>
      </c>
      <c r="J48">
        <v>1</v>
      </c>
      <c r="K48">
        <v>0</v>
      </c>
    </row>
    <row r="49" spans="2:11" x14ac:dyDescent="0.25">
      <c r="B49" s="7"/>
      <c r="D49">
        <v>-19.561666666666667</v>
      </c>
      <c r="I49">
        <v>-0.10090433127082341</v>
      </c>
      <c r="J49">
        <v>2.7129938124702525E-2</v>
      </c>
      <c r="K49">
        <v>1</v>
      </c>
    </row>
    <row r="50" spans="2:11" x14ac:dyDescent="0.25">
      <c r="B50" s="7"/>
      <c r="D50">
        <v>70.084293193717286</v>
      </c>
    </row>
    <row r="51" spans="2:11" x14ac:dyDescent="0.25">
      <c r="B51" s="7"/>
    </row>
    <row r="52" spans="2:11" x14ac:dyDescent="0.25">
      <c r="B52" s="7" t="s">
        <v>31</v>
      </c>
      <c r="D52" s="7">
        <f t="array" ref="D52:D54">+MMULT(I52:K54,D48:D50)</f>
        <v>2.9999999999999996</v>
      </c>
      <c r="H52" t="s">
        <v>30</v>
      </c>
      <c r="I52">
        <f t="array" ref="I52:K54">+MINVERSE(D36:F38)</f>
        <v>0.33333333333333331</v>
      </c>
      <c r="J52">
        <v>4.7596382674916712E-3</v>
      </c>
      <c r="K52">
        <v>6.7980965329707691E-3</v>
      </c>
    </row>
    <row r="53" spans="2:11" x14ac:dyDescent="0.25">
      <c r="B53" s="7"/>
      <c r="D53" s="7">
        <v>-2.5000000000000004</v>
      </c>
      <c r="F53" t="s">
        <v>33</v>
      </c>
      <c r="I53">
        <v>0</v>
      </c>
      <c r="J53">
        <v>0.14278914802475012</v>
      </c>
      <c r="K53">
        <v>4.1834440202897036E-3</v>
      </c>
    </row>
    <row r="54" spans="2:11" x14ac:dyDescent="0.25">
      <c r="B54" s="7"/>
      <c r="D54" s="7">
        <v>7.0000000000000009</v>
      </c>
      <c r="I54">
        <v>0</v>
      </c>
      <c r="J54">
        <v>0</v>
      </c>
      <c r="K54">
        <v>9.9879725984416676E-2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967F-10FE-4641-BAC3-37761A86BD76}">
  <dimension ref="A3:O16"/>
  <sheetViews>
    <sheetView topLeftCell="D10" zoomScale="140" zoomScaleNormal="140" workbookViewId="0">
      <selection activeCell="N5" sqref="N5"/>
    </sheetView>
  </sheetViews>
  <sheetFormatPr baseColWidth="10" defaultRowHeight="15" x14ac:dyDescent="0.25"/>
  <cols>
    <col min="1" max="2" width="11.42578125" hidden="1" customWidth="1"/>
    <col min="5" max="5" width="4.85546875" customWidth="1"/>
  </cols>
  <sheetData>
    <row r="3" spans="4:15" x14ac:dyDescent="0.25">
      <c r="F3" s="12">
        <v>3</v>
      </c>
      <c r="G3" s="13">
        <v>-0.1</v>
      </c>
      <c r="H3" s="13">
        <v>-0.2</v>
      </c>
      <c r="M3" s="13">
        <v>1</v>
      </c>
      <c r="N3" s="13">
        <v>0</v>
      </c>
      <c r="O3" s="13">
        <v>0</v>
      </c>
    </row>
    <row r="4" spans="4:15" x14ac:dyDescent="0.25">
      <c r="D4" t="s">
        <v>18</v>
      </c>
      <c r="F4" s="14">
        <v>0.1</v>
      </c>
      <c r="G4" s="13">
        <v>7</v>
      </c>
      <c r="H4" s="13">
        <v>-0.3</v>
      </c>
      <c r="L4" s="16" t="s">
        <v>36</v>
      </c>
      <c r="M4" s="13">
        <f>+F4/F3</f>
        <v>3.3333333333333333E-2</v>
      </c>
      <c r="N4" s="13">
        <v>1</v>
      </c>
      <c r="O4" s="13">
        <v>0</v>
      </c>
    </row>
    <row r="5" spans="4:15" x14ac:dyDescent="0.25">
      <c r="F5" s="13">
        <v>0.3</v>
      </c>
      <c r="G5" s="13">
        <v>-0.2</v>
      </c>
      <c r="H5" s="13">
        <v>10</v>
      </c>
      <c r="M5" s="13">
        <f>+F5/F3</f>
        <v>9.9999999999999992E-2</v>
      </c>
      <c r="N5" s="13">
        <f>+G11/G10</f>
        <v>-2.7129938124702525E-2</v>
      </c>
      <c r="O5" s="13">
        <v>1</v>
      </c>
    </row>
    <row r="9" spans="4:15" x14ac:dyDescent="0.25">
      <c r="D9" t="s">
        <v>35</v>
      </c>
      <c r="F9" s="13">
        <v>3</v>
      </c>
      <c r="G9" s="13">
        <v>-0.1</v>
      </c>
      <c r="H9" s="13">
        <v>-0.2</v>
      </c>
    </row>
    <row r="10" spans="4:15" x14ac:dyDescent="0.25">
      <c r="F10" s="13">
        <f>+-F3*M4+F4</f>
        <v>0</v>
      </c>
      <c r="G10" s="13">
        <f>+-G3*M4+G4</f>
        <v>7.003333333333333</v>
      </c>
      <c r="H10" s="13">
        <f>+-H3*M4+H4</f>
        <v>-0.29333333333333333</v>
      </c>
    </row>
    <row r="11" spans="4:15" x14ac:dyDescent="0.25">
      <c r="F11" s="13">
        <f>+-F3*M5+F5</f>
        <v>0</v>
      </c>
      <c r="G11" s="13">
        <f>+-G3*M5+G5</f>
        <v>-0.19</v>
      </c>
      <c r="H11" s="13">
        <f>+-M5*H3+H5</f>
        <v>10.02</v>
      </c>
    </row>
    <row r="14" spans="4:15" x14ac:dyDescent="0.25">
      <c r="F14" s="13">
        <f>+F9</f>
        <v>3</v>
      </c>
      <c r="G14" s="13">
        <f t="shared" ref="G14:H15" si="0">+G9</f>
        <v>-0.1</v>
      </c>
      <c r="H14" s="13">
        <f t="shared" si="0"/>
        <v>-0.2</v>
      </c>
    </row>
    <row r="15" spans="4:15" x14ac:dyDescent="0.25">
      <c r="D15" t="s">
        <v>37</v>
      </c>
      <c r="F15" s="13">
        <f>+F10</f>
        <v>0</v>
      </c>
      <c r="G15" s="13">
        <f t="shared" si="0"/>
        <v>7.003333333333333</v>
      </c>
      <c r="H15" s="13">
        <f t="shared" si="0"/>
        <v>-0.29333333333333333</v>
      </c>
    </row>
    <row r="16" spans="4:15" x14ac:dyDescent="0.25">
      <c r="F16" s="13">
        <f>+F11</f>
        <v>0</v>
      </c>
      <c r="G16" s="13">
        <f>+-G10*N5+G11</f>
        <v>0</v>
      </c>
      <c r="H16" s="13">
        <f>+-H10*N5+H11</f>
        <v>10.012041884816753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DD4E-7D5C-40E2-801B-303A86C04080}">
  <dimension ref="B2:M44"/>
  <sheetViews>
    <sheetView tabSelected="1" zoomScale="150" zoomScaleNormal="150" workbookViewId="0">
      <selection activeCell="E35" sqref="E35"/>
    </sheetView>
  </sheetViews>
  <sheetFormatPr baseColWidth="10" defaultRowHeight="15" x14ac:dyDescent="0.25"/>
  <cols>
    <col min="5" max="5" width="13.140625" bestFit="1" customWidth="1"/>
  </cols>
  <sheetData>
    <row r="2" spans="2:13" x14ac:dyDescent="0.25">
      <c r="B2" t="s">
        <v>38</v>
      </c>
      <c r="F2" s="13">
        <v>10</v>
      </c>
      <c r="G2" s="13">
        <v>-7</v>
      </c>
      <c r="H2" s="13">
        <v>0</v>
      </c>
      <c r="K2" s="13">
        <v>1</v>
      </c>
      <c r="L2" s="13">
        <v>0</v>
      </c>
      <c r="M2" s="13">
        <v>0</v>
      </c>
    </row>
    <row r="3" spans="2:13" x14ac:dyDescent="0.25">
      <c r="B3" t="s">
        <v>39</v>
      </c>
      <c r="E3" t="s">
        <v>44</v>
      </c>
      <c r="F3" s="13">
        <v>-3</v>
      </c>
      <c r="G3" s="13">
        <v>2</v>
      </c>
      <c r="H3" s="13">
        <v>6</v>
      </c>
      <c r="J3" s="15" t="s">
        <v>36</v>
      </c>
      <c r="K3" s="13">
        <f>+F3/F2</f>
        <v>-0.3</v>
      </c>
      <c r="L3" s="13">
        <v>1</v>
      </c>
      <c r="M3" s="13">
        <v>0</v>
      </c>
    </row>
    <row r="4" spans="2:13" x14ac:dyDescent="0.25">
      <c r="B4" t="s">
        <v>40</v>
      </c>
      <c r="F4" s="13">
        <v>5</v>
      </c>
      <c r="G4" s="13">
        <v>-1</v>
      </c>
      <c r="H4" s="13">
        <v>5</v>
      </c>
      <c r="K4" s="13">
        <f>+F4/F2</f>
        <v>0.5</v>
      </c>
      <c r="L4" s="13">
        <f>+G9/G8</f>
        <v>-24.999999999999979</v>
      </c>
      <c r="M4" s="13">
        <v>1</v>
      </c>
    </row>
    <row r="5" spans="2:13" x14ac:dyDescent="0.25">
      <c r="B5" t="s">
        <v>41</v>
      </c>
    </row>
    <row r="6" spans="2:13" x14ac:dyDescent="0.25">
      <c r="B6" t="s">
        <v>42</v>
      </c>
    </row>
    <row r="7" spans="2:13" x14ac:dyDescent="0.25">
      <c r="B7" t="s">
        <v>43</v>
      </c>
      <c r="F7" s="13">
        <f>+F2</f>
        <v>10</v>
      </c>
      <c r="G7" s="13">
        <f t="shared" ref="G7:H7" si="0">+G2</f>
        <v>-7</v>
      </c>
      <c r="H7" s="13">
        <f t="shared" si="0"/>
        <v>0</v>
      </c>
      <c r="K7" s="13">
        <v>7</v>
      </c>
    </row>
    <row r="8" spans="2:13" x14ac:dyDescent="0.25">
      <c r="E8" t="s">
        <v>35</v>
      </c>
      <c r="F8" s="13">
        <f>+-F2*K3+F3</f>
        <v>0</v>
      </c>
      <c r="G8" s="13">
        <f>+-G7*K3+G3</f>
        <v>-0.10000000000000009</v>
      </c>
      <c r="H8" s="13">
        <f>+-H2*K3+H3</f>
        <v>6</v>
      </c>
      <c r="J8" s="15" t="s">
        <v>48</v>
      </c>
      <c r="K8" s="13">
        <v>4</v>
      </c>
    </row>
    <row r="9" spans="2:13" x14ac:dyDescent="0.25">
      <c r="F9" s="13">
        <f>+-F2*K4+F4</f>
        <v>0</v>
      </c>
      <c r="G9" s="13">
        <f>+-G2*K4+G4</f>
        <v>2.5</v>
      </c>
      <c r="H9" s="13">
        <f>+-H2*K4+H4</f>
        <v>5</v>
      </c>
      <c r="K9" s="13">
        <v>6</v>
      </c>
    </row>
    <row r="12" spans="2:13" x14ac:dyDescent="0.25">
      <c r="F12" s="13">
        <f>+F7</f>
        <v>10</v>
      </c>
      <c r="G12" s="13">
        <f t="shared" ref="G12:H12" si="1">+G7</f>
        <v>-7</v>
      </c>
      <c r="H12" s="13">
        <f t="shared" si="1"/>
        <v>0</v>
      </c>
    </row>
    <row r="13" spans="2:13" x14ac:dyDescent="0.25">
      <c r="E13" t="s">
        <v>37</v>
      </c>
      <c r="F13" s="13">
        <f>+F8</f>
        <v>0</v>
      </c>
      <c r="G13" s="13">
        <f t="shared" ref="G13:H13" si="2">+G8</f>
        <v>-0.10000000000000009</v>
      </c>
      <c r="H13" s="13">
        <f t="shared" si="2"/>
        <v>6</v>
      </c>
    </row>
    <row r="14" spans="2:13" x14ac:dyDescent="0.25">
      <c r="F14" s="13">
        <f>+F9</f>
        <v>0</v>
      </c>
      <c r="G14" s="13">
        <f>+-G8*L4+G9</f>
        <v>0</v>
      </c>
      <c r="H14" s="13">
        <f>+-H8*L4+H9</f>
        <v>154.99999999999989</v>
      </c>
    </row>
    <row r="19" spans="2:7" x14ac:dyDescent="0.25">
      <c r="E19" s="13" cm="1">
        <f t="array" ref="E19:G21">+MMULT(K2:M4,F12:H14)</f>
        <v>10</v>
      </c>
      <c r="F19" s="13">
        <v>-7</v>
      </c>
      <c r="G19" s="13">
        <v>0</v>
      </c>
    </row>
    <row r="20" spans="2:7" x14ac:dyDescent="0.25">
      <c r="D20" t="s">
        <v>45</v>
      </c>
      <c r="E20" s="13">
        <v>-3</v>
      </c>
      <c r="F20" s="13">
        <v>2</v>
      </c>
      <c r="G20" s="13">
        <v>6</v>
      </c>
    </row>
    <row r="21" spans="2:7" x14ac:dyDescent="0.25">
      <c r="E21" s="13">
        <v>5</v>
      </c>
      <c r="F21" s="13">
        <v>-1</v>
      </c>
      <c r="G21" s="13">
        <v>5</v>
      </c>
    </row>
    <row r="23" spans="2:7" x14ac:dyDescent="0.25">
      <c r="E23" s="13" cm="1">
        <f t="array" ref="E23:G25">+MINVERSE(K2:M4)</f>
        <v>1</v>
      </c>
      <c r="F23" s="13">
        <v>0</v>
      </c>
      <c r="G23" s="13">
        <v>0</v>
      </c>
    </row>
    <row r="24" spans="2:7" x14ac:dyDescent="0.25">
      <c r="B24" t="s">
        <v>42</v>
      </c>
      <c r="D24" t="s">
        <v>47</v>
      </c>
      <c r="E24" s="13">
        <v>0.3</v>
      </c>
      <c r="F24" s="13">
        <v>1</v>
      </c>
      <c r="G24" s="13">
        <v>0</v>
      </c>
    </row>
    <row r="25" spans="2:7" x14ac:dyDescent="0.25">
      <c r="E25" s="13">
        <v>6.9999999999999929</v>
      </c>
      <c r="F25" s="13">
        <v>24.999999999999979</v>
      </c>
      <c r="G25" s="13">
        <v>1</v>
      </c>
    </row>
    <row r="27" spans="2:7" x14ac:dyDescent="0.25">
      <c r="E27" s="13" cm="1">
        <f t="array" ref="E27:E29">+MMULT(_xlfn.ANCHORARRAY(E23),K7:K9)</f>
        <v>7</v>
      </c>
    </row>
    <row r="28" spans="2:7" x14ac:dyDescent="0.25">
      <c r="D28" t="s">
        <v>46</v>
      </c>
      <c r="E28" s="13">
        <v>6.1</v>
      </c>
    </row>
    <row r="29" spans="2:7" x14ac:dyDescent="0.25">
      <c r="E29" s="13">
        <v>154.99999999999986</v>
      </c>
    </row>
    <row r="31" spans="2:7" x14ac:dyDescent="0.25">
      <c r="E31" s="13" cm="1">
        <f t="array" ref="E31:G33">+MINVERSE(F12:H14)</f>
        <v>0.1</v>
      </c>
      <c r="F31" s="13">
        <v>-6.9999999999999947</v>
      </c>
      <c r="G31" s="13">
        <v>0.27096774193548379</v>
      </c>
    </row>
    <row r="32" spans="2:7" x14ac:dyDescent="0.25">
      <c r="B32" t="s">
        <v>49</v>
      </c>
      <c r="D32" t="s">
        <v>50</v>
      </c>
      <c r="E32" s="13">
        <v>0</v>
      </c>
      <c r="F32" s="13">
        <v>-9.9999999999999911</v>
      </c>
      <c r="G32" s="13">
        <v>0.38709677419354832</v>
      </c>
    </row>
    <row r="33" spans="2:7" x14ac:dyDescent="0.25">
      <c r="E33" s="13">
        <v>0</v>
      </c>
      <c r="F33" s="13">
        <v>0</v>
      </c>
      <c r="G33" s="13">
        <v>6.4516129032258108E-3</v>
      </c>
    </row>
    <row r="35" spans="2:7" x14ac:dyDescent="0.25">
      <c r="E35" s="13" cm="1">
        <f t="array" ref="E35:E37">+MMULT(_xlfn.ANCHORARRAY(E31),_xlfn.ANCHORARRAY(E27))</f>
        <v>-1.4210854715202004E-14</v>
      </c>
    </row>
    <row r="36" spans="2:7" x14ac:dyDescent="0.25">
      <c r="D36" t="s">
        <v>51</v>
      </c>
      <c r="E36" s="13">
        <v>-1.0000000000000071</v>
      </c>
    </row>
    <row r="37" spans="2:7" x14ac:dyDescent="0.25">
      <c r="E37" s="13">
        <v>0.99999999999999978</v>
      </c>
    </row>
    <row r="39" spans="2:7" x14ac:dyDescent="0.25">
      <c r="B39" t="s">
        <v>7</v>
      </c>
    </row>
    <row r="40" spans="2:7" x14ac:dyDescent="0.25">
      <c r="B40" t="s">
        <v>8</v>
      </c>
    </row>
    <row r="42" spans="2:7" x14ac:dyDescent="0.25">
      <c r="B42" s="17">
        <v>1.1102E-16</v>
      </c>
    </row>
    <row r="43" spans="2:7" x14ac:dyDescent="0.25">
      <c r="B43" s="17">
        <v>-1</v>
      </c>
    </row>
    <row r="44" spans="2:7" x14ac:dyDescent="0.25">
      <c r="B44" s="17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lu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brigida carvajal</cp:lastModifiedBy>
  <dcterms:created xsi:type="dcterms:W3CDTF">2022-09-20T14:34:01Z</dcterms:created>
  <dcterms:modified xsi:type="dcterms:W3CDTF">2026-03-24T15:02:29Z</dcterms:modified>
</cp:coreProperties>
</file>